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med\Desktop\"/>
    </mc:Choice>
  </mc:AlternateContent>
  <xr:revisionPtr revIDLastSave="0" documentId="13_ncr:1_{4C93ADA5-5D28-43EE-B409-F83C28122366}" xr6:coauthVersionLast="45" xr6:coauthVersionMax="45" xr10:uidLastSave="{00000000-0000-0000-0000-000000000000}"/>
  <bookViews>
    <workbookView xWindow="2820" yWindow="2820" windowWidth="17280" windowHeight="8964" xr2:uid="{8A7A5805-E22C-4C92-9AB1-02A436D9D229}"/>
  </bookViews>
  <sheets>
    <sheet name="Sheet1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3" i="1" l="1"/>
  <c r="D33" i="1"/>
  <c r="C11" i="1"/>
  <c r="C12" i="1"/>
  <c r="C13" i="1"/>
  <c r="C14" i="1"/>
  <c r="C15" i="1"/>
  <c r="C16" i="1"/>
  <c r="C17" i="1"/>
  <c r="C19" i="1"/>
  <c r="C20" i="1"/>
  <c r="C21" i="1"/>
  <c r="C22" i="1"/>
  <c r="C23" i="1"/>
  <c r="C24" i="1"/>
  <c r="C26" i="1"/>
  <c r="C27" i="1"/>
  <c r="C28" i="1"/>
  <c r="C29" i="1"/>
  <c r="C30" i="1"/>
  <c r="C31" i="1"/>
  <c r="C32" i="1"/>
  <c r="D11" i="1"/>
  <c r="D12" i="1"/>
  <c r="D13" i="1"/>
  <c r="D15" i="1"/>
  <c r="D17" i="1"/>
  <c r="D18" i="1"/>
  <c r="D19" i="1"/>
  <c r="D20" i="1"/>
  <c r="D21" i="1"/>
  <c r="D22" i="1"/>
  <c r="D23" i="1"/>
  <c r="D25" i="1"/>
  <c r="D26" i="1"/>
  <c r="D27" i="1"/>
  <c r="D28" i="1"/>
  <c r="D29" i="1"/>
  <c r="D30" i="1"/>
  <c r="D31" i="1"/>
  <c r="D2" i="1"/>
  <c r="D3" i="1"/>
  <c r="D4" i="1"/>
  <c r="D5" i="1"/>
  <c r="D6" i="1"/>
  <c r="D7" i="1"/>
  <c r="D8" i="1"/>
  <c r="D9" i="1"/>
  <c r="D10" i="1"/>
  <c r="C2" i="1"/>
  <c r="C3" i="1"/>
  <c r="C4" i="1"/>
  <c r="C7" i="1"/>
  <c r="C8" i="1"/>
  <c r="C9" i="1"/>
  <c r="C10" i="1"/>
</calcChain>
</file>

<file path=xl/sharedStrings.xml><?xml version="1.0" encoding="utf-8"?>
<sst xmlns="http://schemas.openxmlformats.org/spreadsheetml/2006/main" count="84" uniqueCount="43">
  <si>
    <t>Pin #</t>
  </si>
  <si>
    <t>Direction</t>
  </si>
  <si>
    <t>Output Value</t>
  </si>
  <si>
    <t>Input Type</t>
  </si>
  <si>
    <t>PIN_0</t>
  </si>
  <si>
    <t>PIN_1</t>
  </si>
  <si>
    <t>PIN_2</t>
  </si>
  <si>
    <t>PIN_3</t>
  </si>
  <si>
    <t>PIN_4</t>
  </si>
  <si>
    <t>PIN_5</t>
  </si>
  <si>
    <t>PIN_6</t>
  </si>
  <si>
    <t>PIN_7</t>
  </si>
  <si>
    <t>PIN_8</t>
  </si>
  <si>
    <t>DIO_Input</t>
  </si>
  <si>
    <t>DIO_Output</t>
  </si>
  <si>
    <t>DIO_HIGH</t>
  </si>
  <si>
    <t>DIO_LOW</t>
  </si>
  <si>
    <t>HighImp</t>
  </si>
  <si>
    <t>PullUp</t>
  </si>
  <si>
    <t>N/A</t>
  </si>
  <si>
    <t>PIN_9</t>
  </si>
  <si>
    <t>PIN_10</t>
  </si>
  <si>
    <t>PIN_11</t>
  </si>
  <si>
    <t>PIN_12</t>
  </si>
  <si>
    <t>PIN_13</t>
  </si>
  <si>
    <t>PIN_14</t>
  </si>
  <si>
    <t>PIN_15</t>
  </si>
  <si>
    <t>PIN_16</t>
  </si>
  <si>
    <t>PIN_17</t>
  </si>
  <si>
    <t>PIN_18</t>
  </si>
  <si>
    <t>PIN_19</t>
  </si>
  <si>
    <t>PIN_20</t>
  </si>
  <si>
    <t>PIN_21</t>
  </si>
  <si>
    <t>PIN_22</t>
  </si>
  <si>
    <t>PIN_23</t>
  </si>
  <si>
    <t>PIN_24</t>
  </si>
  <si>
    <t>PIN_25</t>
  </si>
  <si>
    <t>PIN_26</t>
  </si>
  <si>
    <t>PIN_27</t>
  </si>
  <si>
    <t>PIN_28</t>
  </si>
  <si>
    <t>PIN_29</t>
  </si>
  <si>
    <t>PIN_30</t>
  </si>
  <si>
    <t>PIN_31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</si>
</sst>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</cellXfs>
  <cellStyles count="1">
    <cellStyle name="Normal" xfId="0" builtinId="0"/>
  </cellStyles>
  <dxfs count="73">
    <dxf>
      <fill>
        <patternFill>
          <bgColor rgb="FF006600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FF9900"/>
        </patternFill>
      </fill>
    </dxf>
    <dxf>
      <fill>
        <patternFill>
          <bgColor rgb="FF006600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99FFCC"/>
        </patternFill>
      </fill>
    </dxf>
    <dxf>
      <fill>
        <patternFill>
          <bgColor rgb="FF009900"/>
        </patternFill>
      </fill>
    </dxf>
    <dxf>
      <fill>
        <patternFill>
          <bgColor rgb="FFFFCCCC"/>
        </patternFill>
      </fill>
    </dxf>
    <dxf>
      <fill>
        <patternFill>
          <bgColor rgb="FFCC0000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FFCCCC"/>
        </patternFill>
      </fill>
    </dxf>
    <dxf>
      <fill>
        <patternFill>
          <bgColor rgb="FFCC0000"/>
        </patternFill>
      </fill>
    </dxf>
    <dxf>
      <fill>
        <patternFill>
          <bgColor rgb="FFCCFFCC"/>
        </patternFill>
      </fill>
    </dxf>
    <dxf>
      <fill>
        <patternFill>
          <bgColor rgb="FFCCFF33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FFCCCC"/>
        </patternFill>
      </fill>
    </dxf>
    <dxf>
      <fill>
        <patternFill>
          <bgColor rgb="FFCC0000"/>
        </patternFill>
      </fill>
    </dxf>
    <dxf>
      <fill>
        <patternFill>
          <bgColor rgb="FFCCFFCC"/>
        </patternFill>
      </fill>
    </dxf>
    <dxf>
      <fill>
        <patternFill>
          <bgColor rgb="FFCCFF33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FFCCCC"/>
        </patternFill>
      </fill>
    </dxf>
    <dxf>
      <fill>
        <patternFill>
          <bgColor rgb="FFCC0000"/>
        </patternFill>
      </fill>
    </dxf>
    <dxf>
      <fill>
        <patternFill>
          <bgColor rgb="FFCCFFCC"/>
        </patternFill>
      </fill>
    </dxf>
    <dxf>
      <fill>
        <patternFill>
          <bgColor rgb="FFCCFF33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CC0000"/>
        </patternFill>
      </fill>
    </dxf>
    <dxf>
      <fill>
        <patternFill>
          <bgColor rgb="FFCCFF33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CCFF33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9900"/>
      <color rgb="FFFFCC99"/>
      <color rgb="FF99FFCC"/>
      <color rgb="FF006600"/>
      <color rgb="FF009900"/>
      <color rgb="FFFFCCCC"/>
      <color rgb="FFCC0000"/>
      <color rgb="FFCCFFCC"/>
      <color rgb="FFCC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2</xdr:row>
          <xdr:rowOff>91440</xdr:rowOff>
        </xdr:from>
        <xdr:to>
          <xdr:col>6</xdr:col>
          <xdr:colOff>480060</xdr:colOff>
          <xdr:row>7</xdr:row>
          <xdr:rowOff>53340</xdr:rowOff>
        </xdr:to>
        <xdr:sp macro="" textlink="">
          <xdr:nvSpPr>
            <xdr:cNvPr id="1027" name="Gener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0DF3923-5B74-44E3-B4AF-E5199DA3C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83CA42-F2C9-49B2-A1E9-1F05FBB03BF8}" name="Table2" displayName="Table2" ref="A1:D33" totalsRowShown="0" headerRowDxfId="69" dataDxfId="68" headerRowBorderDxfId="71" tableBorderDxfId="72" totalsRowBorderDxfId="70">
  <autoFilter ref="A1:D33" xr:uid="{5A6B2919-23A1-4853-85E6-22EF402872BA}"/>
  <tableColumns count="4">
    <tableColumn id="1" xr3:uid="{E8106C39-B5A1-4C81-9413-6C96A3A08EE4}" name="Pin #" dataDxfId="64"/>
    <tableColumn id="2" xr3:uid="{F21EFE77-3EBA-4420-88FB-0FF5ADD0AF09}" name="Direction" dataDxfId="65"/>
    <tableColumn id="3" xr3:uid="{FE78ED0E-66ED-419E-B340-2CBD62F54F1E}" name="Output Value" dataDxfId="67">
      <calculatedColumnFormula>IF(Table2[[#This Row],[Direction]]="DIO_Output","DIO_HIGH","N/A")</calculatedColumnFormula>
    </tableColumn>
    <tableColumn id="4" xr3:uid="{561C8868-314A-4541-B75F-4E1B0075928C}" name="Input Type" dataDxfId="66">
      <calculatedColumnFormula>IF(Table2[[#This Row],[Direction]]="DIO_Input","PullUp","N/A")</calculatedColumnFormula>
    </tableColumn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5AA9B-B82B-4482-98A2-6EF2EDCBC3E0}">
  <sheetPr codeName="Sheet1"/>
  <dimension ref="A1:D33"/>
  <sheetViews>
    <sheetView tabSelected="1" topLeftCell="A16" zoomScale="120" workbookViewId="0">
      <selection activeCell="F19" sqref="F19"/>
    </sheetView>
  </sheetViews>
  <sheetFormatPr defaultRowHeight="14.4" x14ac:dyDescent="0.3"/>
  <cols>
    <col min="2" max="2" width="16.6640625" customWidth="1"/>
    <col min="3" max="3" width="16.109375" customWidth="1"/>
    <col min="4" max="4" width="14.5546875" customWidth="1"/>
  </cols>
  <sheetData>
    <row r="1" spans="1:4" x14ac:dyDescent="0.3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3">
      <c r="A2" s="8" t="s">
        <v>4</v>
      </c>
      <c r="B2" s="4" t="s">
        <v>13</v>
      </c>
      <c r="C2" s="4" t="str">
        <f>IF(Table2[[#This Row],[Direction]]="DIO_Output","DIO_HIGH","N/A")</f>
        <v>N/A</v>
      </c>
      <c r="D2" s="5" t="str">
        <f>IF(Table2[[#This Row],[Direction]]="DIO_Input","PullUp","N/A")</f>
        <v>PullUp</v>
      </c>
    </row>
    <row r="3" spans="1:4" x14ac:dyDescent="0.3">
      <c r="A3" s="8" t="s">
        <v>5</v>
      </c>
      <c r="B3" s="4" t="s">
        <v>14</v>
      </c>
      <c r="C3" s="4" t="str">
        <f>IF(Table2[[#This Row],[Direction]]="DIO_Output","DIO_HIGH","N/A")</f>
        <v>DIO_HIGH</v>
      </c>
      <c r="D3" s="5" t="str">
        <f>IF(Table2[[#This Row],[Direction]]="DIO_Input","PullUp","N/A")</f>
        <v>N/A</v>
      </c>
    </row>
    <row r="4" spans="1:4" x14ac:dyDescent="0.3">
      <c r="A4" s="8" t="s">
        <v>6</v>
      </c>
      <c r="B4" s="4" t="s">
        <v>13</v>
      </c>
      <c r="C4" s="4" t="str">
        <f>IF(Table2[[#This Row],[Direction]]="DIO_Output","DIO_HIGH","N/A")</f>
        <v>N/A</v>
      </c>
      <c r="D4" s="5" t="str">
        <f>IF(Table2[[#This Row],[Direction]]="DIO_Input","PullUp","N/A")</f>
        <v>PullUp</v>
      </c>
    </row>
    <row r="5" spans="1:4" x14ac:dyDescent="0.3">
      <c r="A5" s="8" t="s">
        <v>7</v>
      </c>
      <c r="B5" s="4" t="s">
        <v>13</v>
      </c>
      <c r="C5" s="4" t="s">
        <v>16</v>
      </c>
      <c r="D5" s="5" t="str">
        <f>IF(Table2[[#This Row],[Direction]]="DIO_Input","PullUp","N/A")</f>
        <v>PullUp</v>
      </c>
    </row>
    <row r="6" spans="1:4" x14ac:dyDescent="0.3">
      <c r="A6" s="8" t="s">
        <v>8</v>
      </c>
      <c r="B6" s="4" t="s">
        <v>13</v>
      </c>
      <c r="C6" s="4" t="s">
        <v>15</v>
      </c>
      <c r="D6" s="5" t="str">
        <f>IF(Table2[[#This Row],[Direction]]="DIO_Input","PullUp","N/A")</f>
        <v>PullUp</v>
      </c>
    </row>
    <row r="7" spans="1:4" x14ac:dyDescent="0.3">
      <c r="A7" s="8" t="s">
        <v>9</v>
      </c>
      <c r="B7" s="4" t="s">
        <v>13</v>
      </c>
      <c r="C7" s="4" t="str">
        <f>IF(Table2[[#This Row],[Direction]]="DIO_Output","DIO_HIGH","N/A")</f>
        <v>N/A</v>
      </c>
      <c r="D7" s="5" t="str">
        <f>IF(Table2[[#This Row],[Direction]]="DIO_Input","PullUp","N/A")</f>
        <v>PullUp</v>
      </c>
    </row>
    <row r="8" spans="1:4" x14ac:dyDescent="0.3">
      <c r="A8" s="8" t="s">
        <v>10</v>
      </c>
      <c r="B8" s="4" t="s">
        <v>13</v>
      </c>
      <c r="C8" s="4" t="str">
        <f>IF(Table2[[#This Row],[Direction]]="DIO_Output","DIO_HIGH","N/A")</f>
        <v>N/A</v>
      </c>
      <c r="D8" s="5" t="str">
        <f>IF(Table2[[#This Row],[Direction]]="DIO_Input","PullUp","N/A")</f>
        <v>PullUp</v>
      </c>
    </row>
    <row r="9" spans="1:4" x14ac:dyDescent="0.3">
      <c r="A9" s="8" t="s">
        <v>11</v>
      </c>
      <c r="B9" s="4" t="s">
        <v>14</v>
      </c>
      <c r="C9" s="4" t="str">
        <f>IF(Table2[[#This Row],[Direction]]="DIO_Output","DIO_HIGH","N/A")</f>
        <v>DIO_HIGH</v>
      </c>
      <c r="D9" s="5" t="str">
        <f>IF(Table2[[#This Row],[Direction]]="DIO_Input","PullUp","N/A")</f>
        <v>N/A</v>
      </c>
    </row>
    <row r="10" spans="1:4" x14ac:dyDescent="0.3">
      <c r="A10" s="8" t="s">
        <v>12</v>
      </c>
      <c r="B10" s="6" t="s">
        <v>14</v>
      </c>
      <c r="C10" s="4" t="str">
        <f>IF(Table2[[#This Row],[Direction]]="DIO_Output","DIO_HIGH","N/A")</f>
        <v>DIO_HIGH</v>
      </c>
      <c r="D10" s="7" t="str">
        <f>IF(Table2[[#This Row],[Direction]]="DIO_Input","PullUp","N/A")</f>
        <v>N/A</v>
      </c>
    </row>
    <row r="11" spans="1:4" x14ac:dyDescent="0.3">
      <c r="A11" s="8" t="s">
        <v>20</v>
      </c>
      <c r="B11" s="4" t="s">
        <v>13</v>
      </c>
      <c r="C11" s="9" t="str">
        <f>IF(Table2[[#This Row],[Direction]]="DIO_Output","DIO_HIGH","N/A")</f>
        <v>N/A</v>
      </c>
      <c r="D11" s="10" t="str">
        <f>IF(Table2[[#This Row],[Direction]]="DIO_Input","PullUp","N/A")</f>
        <v>PullUp</v>
      </c>
    </row>
    <row r="12" spans="1:4" x14ac:dyDescent="0.3">
      <c r="A12" s="8" t="s">
        <v>21</v>
      </c>
      <c r="B12" s="4" t="s">
        <v>14</v>
      </c>
      <c r="C12" s="9" t="str">
        <f>IF(Table2[[#This Row],[Direction]]="DIO_Output","DIO_HIGH","N/A")</f>
        <v>DIO_HIGH</v>
      </c>
      <c r="D12" s="10" t="str">
        <f>IF(Table2[[#This Row],[Direction]]="DIO_Input","PullUp","N/A")</f>
        <v>N/A</v>
      </c>
    </row>
    <row r="13" spans="1:4" x14ac:dyDescent="0.3">
      <c r="A13" s="8" t="s">
        <v>22</v>
      </c>
      <c r="B13" s="4" t="s">
        <v>13</v>
      </c>
      <c r="C13" s="9" t="str">
        <f>IF(Table2[[#This Row],[Direction]]="DIO_Output","DIO_HIGH","N/A")</f>
        <v>N/A</v>
      </c>
      <c r="D13" s="10" t="str">
        <f>IF(Table2[[#This Row],[Direction]]="DIO_Input","PullUp","N/A")</f>
        <v>PullUp</v>
      </c>
    </row>
    <row r="14" spans="1:4" x14ac:dyDescent="0.3">
      <c r="A14" s="8" t="s">
        <v>23</v>
      </c>
      <c r="B14" s="4" t="s">
        <v>13</v>
      </c>
      <c r="C14" s="9" t="str">
        <f>IF(Table2[[#This Row],[Direction]]="DIO_Output","DIO_HIGH","N/A")</f>
        <v>N/A</v>
      </c>
      <c r="D14" s="10" t="s">
        <v>17</v>
      </c>
    </row>
    <row r="15" spans="1:4" x14ac:dyDescent="0.3">
      <c r="A15" s="8" t="s">
        <v>24</v>
      </c>
      <c r="B15" s="4" t="s">
        <v>13</v>
      </c>
      <c r="C15" s="9" t="str">
        <f>IF(Table2[[#This Row],[Direction]]="DIO_Output","DIO_HIGH","N/A")</f>
        <v>N/A</v>
      </c>
      <c r="D15" s="10" t="str">
        <f>IF(Table2[[#This Row],[Direction]]="DIO_Input","PullUp","N/A")</f>
        <v>PullUp</v>
      </c>
    </row>
    <row r="16" spans="1:4" x14ac:dyDescent="0.3">
      <c r="A16" s="8" t="s">
        <v>25</v>
      </c>
      <c r="B16" s="4" t="s">
        <v>13</v>
      </c>
      <c r="C16" s="9" t="str">
        <f>IF(Table2[[#This Row],[Direction]]="DIO_Output","DIO_HIGH","N/A")</f>
        <v>N/A</v>
      </c>
      <c r="D16" s="10" t="s">
        <v>17</v>
      </c>
    </row>
    <row r="17" spans="1:4" x14ac:dyDescent="0.3">
      <c r="A17" s="8" t="s">
        <v>26</v>
      </c>
      <c r="B17" s="4" t="s">
        <v>13</v>
      </c>
      <c r="C17" s="9" t="str">
        <f>IF(Table2[[#This Row],[Direction]]="DIO_Output","DIO_HIGH","N/A")</f>
        <v>N/A</v>
      </c>
      <c r="D17" s="10" t="str">
        <f>IF(Table2[[#This Row],[Direction]]="DIO_Input","PullUp","N/A")</f>
        <v>PullUp</v>
      </c>
    </row>
    <row r="18" spans="1:4" x14ac:dyDescent="0.3">
      <c r="A18" s="8" t="s">
        <v>27</v>
      </c>
      <c r="B18" s="4" t="s">
        <v>14</v>
      </c>
      <c r="C18" s="9" t="s">
        <v>16</v>
      </c>
      <c r="D18" s="10" t="str">
        <f>IF(Table2[[#This Row],[Direction]]="DIO_Input","PullUp","N/A")</f>
        <v>N/A</v>
      </c>
    </row>
    <row r="19" spans="1:4" x14ac:dyDescent="0.3">
      <c r="A19" s="8" t="s">
        <v>28</v>
      </c>
      <c r="B19" s="6" t="s">
        <v>14</v>
      </c>
      <c r="C19" s="9" t="str">
        <f>IF(Table2[[#This Row],[Direction]]="DIO_Output","DIO_HIGH","N/A")</f>
        <v>DIO_HIGH</v>
      </c>
      <c r="D19" s="10" t="str">
        <f>IF(Table2[[#This Row],[Direction]]="DIO_Input","PullUp","N/A")</f>
        <v>N/A</v>
      </c>
    </row>
    <row r="20" spans="1:4" x14ac:dyDescent="0.3">
      <c r="A20" s="8" t="s">
        <v>29</v>
      </c>
      <c r="B20" s="4" t="s">
        <v>13</v>
      </c>
      <c r="C20" s="9" t="str">
        <f>IF(Table2[[#This Row],[Direction]]="DIO_Output","DIO_HIGH","N/A")</f>
        <v>N/A</v>
      </c>
      <c r="D20" s="10" t="str">
        <f>IF(Table2[[#This Row],[Direction]]="DIO_Input","PullUp","N/A")</f>
        <v>PullUp</v>
      </c>
    </row>
    <row r="21" spans="1:4" x14ac:dyDescent="0.3">
      <c r="A21" s="8" t="s">
        <v>30</v>
      </c>
      <c r="B21" s="4" t="s">
        <v>14</v>
      </c>
      <c r="C21" s="9" t="str">
        <f>IF(Table2[[#This Row],[Direction]]="DIO_Output","DIO_HIGH","N/A")</f>
        <v>DIO_HIGH</v>
      </c>
      <c r="D21" s="10" t="str">
        <f>IF(Table2[[#This Row],[Direction]]="DIO_Input","PullUp","N/A")</f>
        <v>N/A</v>
      </c>
    </row>
    <row r="22" spans="1:4" x14ac:dyDescent="0.3">
      <c r="A22" s="8" t="s">
        <v>31</v>
      </c>
      <c r="B22" s="4" t="s">
        <v>13</v>
      </c>
      <c r="C22" s="9" t="str">
        <f>IF(Table2[[#This Row],[Direction]]="DIO_Output","DIO_HIGH","N/A")</f>
        <v>N/A</v>
      </c>
      <c r="D22" s="10" t="str">
        <f>IF(Table2[[#This Row],[Direction]]="DIO_Input","PullUp","N/A")</f>
        <v>PullUp</v>
      </c>
    </row>
    <row r="23" spans="1:4" x14ac:dyDescent="0.3">
      <c r="A23" s="8" t="s">
        <v>32</v>
      </c>
      <c r="B23" s="4" t="s">
        <v>13</v>
      </c>
      <c r="C23" s="9" t="str">
        <f>IF(Table2[[#This Row],[Direction]]="DIO_Output","DIO_HIGH","N/A")</f>
        <v>N/A</v>
      </c>
      <c r="D23" s="10" t="str">
        <f>IF(Table2[[#This Row],[Direction]]="DIO_Input","PullUp","N/A")</f>
        <v>PullUp</v>
      </c>
    </row>
    <row r="24" spans="1:4" x14ac:dyDescent="0.3">
      <c r="A24" s="8" t="s">
        <v>33</v>
      </c>
      <c r="B24" s="4" t="s">
        <v>13</v>
      </c>
      <c r="C24" s="9" t="str">
        <f>IF(Table2[[#This Row],[Direction]]="DIO_Output","DIO_HIGH","N/A")</f>
        <v>N/A</v>
      </c>
      <c r="D24" s="10" t="s">
        <v>17</v>
      </c>
    </row>
    <row r="25" spans="1:4" x14ac:dyDescent="0.3">
      <c r="A25" s="8" t="s">
        <v>34</v>
      </c>
      <c r="B25" s="4" t="s">
        <v>13</v>
      </c>
      <c r="C25" s="9" t="s">
        <v>16</v>
      </c>
      <c r="D25" s="10" t="str">
        <f>IF(Table2[[#This Row],[Direction]]="DIO_Input","PullUp","N/A")</f>
        <v>PullUp</v>
      </c>
    </row>
    <row r="26" spans="1:4" x14ac:dyDescent="0.3">
      <c r="A26" s="8" t="s">
        <v>35</v>
      </c>
      <c r="B26" s="4" t="s">
        <v>13</v>
      </c>
      <c r="C26" s="9" t="str">
        <f>IF(Table2[[#This Row],[Direction]]="DIO_Output","DIO_HIGH","N/A")</f>
        <v>N/A</v>
      </c>
      <c r="D26" s="10" t="str">
        <f>IF(Table2[[#This Row],[Direction]]="DIO_Input","PullUp","N/A")</f>
        <v>PullUp</v>
      </c>
    </row>
    <row r="27" spans="1:4" x14ac:dyDescent="0.3">
      <c r="A27" s="8" t="s">
        <v>36</v>
      </c>
      <c r="B27" s="4" t="s">
        <v>14</v>
      </c>
      <c r="C27" s="9" t="str">
        <f>IF(Table2[[#This Row],[Direction]]="DIO_Output","DIO_HIGH","N/A")</f>
        <v>DIO_HIGH</v>
      </c>
      <c r="D27" s="10" t="str">
        <f>IF(Table2[[#This Row],[Direction]]="DIO_Input","PullUp","N/A")</f>
        <v>N/A</v>
      </c>
    </row>
    <row r="28" spans="1:4" x14ac:dyDescent="0.3">
      <c r="A28" s="8" t="s">
        <v>37</v>
      </c>
      <c r="B28" s="6" t="s">
        <v>14</v>
      </c>
      <c r="C28" s="9" t="str">
        <f>IF(Table2[[#This Row],[Direction]]="DIO_Output","DIO_HIGH","N/A")</f>
        <v>DIO_HIGH</v>
      </c>
      <c r="D28" s="10" t="str">
        <f>IF(Table2[[#This Row],[Direction]]="DIO_Input","PullUp","N/A")</f>
        <v>N/A</v>
      </c>
    </row>
    <row r="29" spans="1:4" x14ac:dyDescent="0.3">
      <c r="A29" s="8" t="s">
        <v>38</v>
      </c>
      <c r="B29" s="4" t="s">
        <v>13</v>
      </c>
      <c r="C29" s="9" t="str">
        <f>IF(Table2[[#This Row],[Direction]]="DIO_Output","DIO_HIGH","N/A")</f>
        <v>N/A</v>
      </c>
      <c r="D29" s="10" t="str">
        <f>IF(Table2[[#This Row],[Direction]]="DIO_Input","PullUp","N/A")</f>
        <v>PullUp</v>
      </c>
    </row>
    <row r="30" spans="1:4" x14ac:dyDescent="0.3">
      <c r="A30" s="8" t="s">
        <v>39</v>
      </c>
      <c r="B30" s="4" t="s">
        <v>14</v>
      </c>
      <c r="C30" s="9" t="str">
        <f>IF(Table2[[#This Row],[Direction]]="DIO_Output","DIO_HIGH","N/A")</f>
        <v>DIO_HIGH</v>
      </c>
      <c r="D30" s="10" t="str">
        <f>IF(Table2[[#This Row],[Direction]]="DIO_Input","PullUp","N/A")</f>
        <v>N/A</v>
      </c>
    </row>
    <row r="31" spans="1:4" x14ac:dyDescent="0.3">
      <c r="A31" s="8" t="s">
        <v>40</v>
      </c>
      <c r="B31" s="4" t="s">
        <v>13</v>
      </c>
      <c r="C31" s="9" t="str">
        <f>IF(Table2[[#This Row],[Direction]]="DIO_Output","DIO_HIGH","N/A")</f>
        <v>N/A</v>
      </c>
      <c r="D31" s="10" t="str">
        <f>IF(Table2[[#This Row],[Direction]]="DIO_Input","PullUp","N/A")</f>
        <v>PullUp</v>
      </c>
    </row>
    <row r="32" spans="1:4" x14ac:dyDescent="0.3">
      <c r="A32" s="8" t="s">
        <v>41</v>
      </c>
      <c r="B32" s="4" t="s">
        <v>13</v>
      </c>
      <c r="C32" s="11" t="str">
        <f>IF(Table2[[#This Row],[Direction]]="DIO_Output","DIO_HIGH","N/A")</f>
        <v>N/A</v>
      </c>
      <c r="D32" s="12" t="s">
        <v>17</v>
      </c>
    </row>
    <row r="33" spans="1:4" x14ac:dyDescent="0.3">
      <c r="A33" s="8" t="s">
        <v>42</v>
      </c>
      <c r="B33" s="4" t="s">
        <v>13</v>
      </c>
      <c r="C33" s="9" t="str">
        <f>IF(Table2[[#This Row],[Direction]]="DIO_Output","DIO_HIGH","N/A")</f>
        <v>N/A</v>
      </c>
      <c r="D33" s="12" t="str">
        <f>IF(Table2[[#This Row],[Direction]]="DIO_Input","PullUp","N/A")</f>
        <v>PullUp</v>
      </c>
    </row>
  </sheetData>
  <phoneticPr fontId="1" type="noConversion"/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Generate">
          <controlPr defaultSize="0" autoLine="0" r:id="rId5">
            <anchor moveWithCells="1">
              <from>
                <xdr:col>4</xdr:col>
                <xdr:colOff>205740</xdr:colOff>
                <xdr:row>2</xdr:row>
                <xdr:rowOff>91440</xdr:rowOff>
              </from>
              <to>
                <xdr:col>6</xdr:col>
                <xdr:colOff>480060</xdr:colOff>
                <xdr:row>7</xdr:row>
                <xdr:rowOff>53340</xdr:rowOff>
              </to>
            </anchor>
          </controlPr>
        </control>
      </mc:Choice>
      <mc:Fallback>
        <control shapeId="1027" r:id="rId4" name="Generate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operator="equal" id="{D1ACB7EF-7CAE-4986-A87A-2E4C1E1B7E21}">
            <xm:f>Settings!$A$1</xm:f>
            <x14:dxf>
              <fill>
                <patternFill>
                  <bgColor rgb="FFFF5050"/>
                </patternFill>
              </fill>
            </x14:dxf>
          </x14:cfRule>
          <x14:cfRule type="cellIs" priority="15" operator="equal" id="{097FB172-D735-426D-BF7A-A6711D1D89F7}">
            <xm:f>Settings!$A$2</xm:f>
            <x14:dxf>
              <fill>
                <patternFill>
                  <bgColor theme="9" tint="0.39994506668294322"/>
                </patternFill>
              </fill>
            </x14:dxf>
          </x14:cfRule>
          <xm:sqref>B2:B28</xm:sqref>
        </x14:conditionalFormatting>
        <x14:conditionalFormatting xmlns:xm="http://schemas.microsoft.com/office/excel/2006/main">
          <x14:cfRule type="cellIs" priority="12" operator="equal" id="{9BDB4863-51B8-4D53-AB87-A4570771E7A6}">
            <xm:f>Settings!$A$1</xm:f>
            <x14:dxf>
              <fill>
                <patternFill>
                  <bgColor rgb="FFFF5050"/>
                </patternFill>
              </fill>
            </x14:dxf>
          </x14:cfRule>
          <x14:cfRule type="cellIs" priority="13" operator="equal" id="{8E848C65-44B8-453E-9CE4-A4DFB9C6909C}">
            <xm:f>Settings!$A$2</xm:f>
            <x14:dxf>
              <fill>
                <patternFill>
                  <bgColor theme="9" tint="0.39994506668294322"/>
                </patternFill>
              </fill>
            </x14:dxf>
          </x14:cfRule>
          <xm:sqref>B29:B33</xm:sqref>
        </x14:conditionalFormatting>
        <x14:conditionalFormatting xmlns:xm="http://schemas.microsoft.com/office/excel/2006/main">
          <x14:cfRule type="cellIs" priority="11" operator="equal" id="{5F91E97A-9301-4B04-A622-5F07C00940C7}">
            <xm:f>Settings!$B$3</xm:f>
            <x14:dxf>
              <fill>
                <patternFill>
                  <bgColor theme="6" tint="0.59996337778862885"/>
                </patternFill>
              </fill>
            </x14:dxf>
          </x14:cfRule>
          <xm:sqref>C2:D33</xm:sqref>
        </x14:conditionalFormatting>
        <x14:conditionalFormatting xmlns:xm="http://schemas.microsoft.com/office/excel/2006/main">
          <x14:cfRule type="cellIs" priority="4" operator="equal" id="{A6805205-F3F0-4E32-AB57-CFDC3FD79F23}">
            <xm:f>Settings!$B$1</xm:f>
            <x14:dxf>
              <fill>
                <patternFill>
                  <bgColor rgb="FF006600"/>
                </patternFill>
              </fill>
            </x14:dxf>
          </x14:cfRule>
          <x14:cfRule type="cellIs" priority="3" operator="equal" id="{A800B114-084C-4462-B134-D1EA57E89771}">
            <xm:f>Settings!$B$2</xm:f>
            <x14:dxf>
              <fill>
                <patternFill>
                  <bgColor rgb="FF99FFCC"/>
                </patternFill>
              </fill>
            </x14:dxf>
          </x14:cfRule>
          <x14:cfRule type="cellIs" priority="2" operator="equal" id="{FFC4FB17-4F58-427A-8BF9-D6E8825B940A}">
            <xm:f>Settings!$C$1</xm:f>
            <x14:dxf>
              <fill>
                <patternFill>
                  <bgColor rgb="FFFFCC99"/>
                </patternFill>
              </fill>
            </x14:dxf>
          </x14:cfRule>
          <x14:cfRule type="cellIs" priority="1" operator="equal" id="{2289C029-8F0F-475C-95CF-D0248C31569A}">
            <xm:f>Settings!$C$2</xm:f>
            <x14:dxf>
              <fill>
                <patternFill>
                  <bgColor rgb="FFFF9900"/>
                </patternFill>
              </fill>
            </x14:dxf>
          </x14:cfRule>
          <xm:sqref>A1:D33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7D9E1B-AE69-4F87-8682-C0BD3A1033B2}">
          <x14:formula1>
            <xm:f>Settings!$A$1:$A$2</xm:f>
          </x14:formula1>
          <xm:sqref>B2:B33</xm:sqref>
        </x14:dataValidation>
        <x14:dataValidation type="list" errorStyle="warning" allowBlank="1" showInputMessage="1" showErrorMessage="1" xr:uid="{ADA9215D-5543-49A1-9EEF-F3FCFE0C3FA0}">
          <x14:formula1>
            <xm:f>Settings!$B$1:$B$3</xm:f>
          </x14:formula1>
          <xm:sqref>C2:C33</xm:sqref>
        </x14:dataValidation>
        <x14:dataValidation type="list" errorStyle="warning" allowBlank="1" showInputMessage="1" showErrorMessage="1" xr:uid="{F0E08D7D-3E84-423E-8442-F722B8C24697}">
          <x14:formula1>
            <xm:f>Settings!$C$1:$C$3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F829D-CBA5-4AA3-B5D0-449A53BD67FC}">
  <sheetPr codeName="Sheet2"/>
  <dimension ref="A1:C3"/>
  <sheetViews>
    <sheetView workbookViewId="0">
      <selection activeCell="C6" sqref="C6"/>
    </sheetView>
  </sheetViews>
  <sheetFormatPr defaultRowHeight="14.4" x14ac:dyDescent="0.3"/>
  <sheetData>
    <row r="1" spans="1:3" x14ac:dyDescent="0.3">
      <c r="A1" t="s">
        <v>13</v>
      </c>
      <c r="B1" t="s">
        <v>15</v>
      </c>
      <c r="C1" t="s">
        <v>17</v>
      </c>
    </row>
    <row r="2" spans="1:3" x14ac:dyDescent="0.3">
      <c r="A2" t="s">
        <v>14</v>
      </c>
      <c r="B2" t="s">
        <v>16</v>
      </c>
      <c r="C2" t="s">
        <v>18</v>
      </c>
    </row>
    <row r="3" spans="1:3" x14ac:dyDescent="0.3">
      <c r="B3" t="s">
        <v>19</v>
      </c>
      <c r="C3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zoher</dc:creator>
  <cp:lastModifiedBy>ahmed zoher</cp:lastModifiedBy>
  <dcterms:created xsi:type="dcterms:W3CDTF">2020-04-20T15:49:06Z</dcterms:created>
  <dcterms:modified xsi:type="dcterms:W3CDTF">2020-04-20T19:30:53Z</dcterms:modified>
</cp:coreProperties>
</file>